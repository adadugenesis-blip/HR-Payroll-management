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OneDrive\Documents\"/>
    </mc:Choice>
  </mc:AlternateContent>
  <bookViews>
    <workbookView xWindow="0" yWindow="0" windowWidth="22118" windowHeight="8778"/>
  </bookViews>
  <sheets>
    <sheet name="HR Payroll Mnagement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" l="1"/>
  <c r="H2" i="1" s="1"/>
  <c r="G3" i="1"/>
  <c r="H3" i="1"/>
  <c r="I3" i="1" s="1"/>
  <c r="G4" i="1"/>
  <c r="H4" i="1" s="1"/>
  <c r="G5" i="1"/>
  <c r="H5" i="1"/>
  <c r="I5" i="1" s="1"/>
  <c r="G6" i="1"/>
  <c r="H6" i="1" s="1"/>
  <c r="G7" i="1"/>
  <c r="H7" i="1"/>
  <c r="I7" i="1" s="1"/>
  <c r="G8" i="1"/>
  <c r="H8" i="1" s="1"/>
  <c r="G9" i="1"/>
  <c r="H9" i="1"/>
  <c r="I9" i="1" s="1"/>
  <c r="G10" i="1"/>
  <c r="H10" i="1" s="1"/>
  <c r="I10" i="1" s="1"/>
  <c r="G11" i="1"/>
  <c r="H11" i="1"/>
  <c r="I11" i="1" s="1"/>
  <c r="C17" i="1"/>
  <c r="C23" i="1"/>
  <c r="C24" i="1"/>
  <c r="C25" i="1"/>
  <c r="C26" i="1"/>
  <c r="C27" i="1"/>
  <c r="I4" i="1" l="1"/>
  <c r="C16" i="1"/>
  <c r="I6" i="1"/>
  <c r="C18" i="1"/>
  <c r="I8" i="1"/>
  <c r="C15" i="1"/>
  <c r="H19" i="1"/>
  <c r="I2" i="1"/>
  <c r="H13" i="1"/>
  <c r="C14" i="1"/>
</calcChain>
</file>

<file path=xl/sharedStrings.xml><?xml version="1.0" encoding="utf-8"?>
<sst xmlns="http://schemas.openxmlformats.org/spreadsheetml/2006/main" count="51" uniqueCount="46">
  <si>
    <t>number of employees in Marketing</t>
  </si>
  <si>
    <t>number of employees in IT</t>
  </si>
  <si>
    <t>number of employees in HR</t>
  </si>
  <si>
    <t>number of employees in sales</t>
  </si>
  <si>
    <t>number of employees in finance</t>
  </si>
  <si>
    <t>Average Net Salary</t>
  </si>
  <si>
    <t>Marketing Payroll cost</t>
  </si>
  <si>
    <t>IT Payroll cost</t>
  </si>
  <si>
    <t>HR Payroll cost</t>
  </si>
  <si>
    <t>Sales Payroll Cost</t>
  </si>
  <si>
    <t xml:space="preserve">Finance Payroll cost </t>
  </si>
  <si>
    <t>Total Payroll cost</t>
  </si>
  <si>
    <t xml:space="preserve">Marketing </t>
  </si>
  <si>
    <t>David Clark</t>
  </si>
  <si>
    <t>E010</t>
  </si>
  <si>
    <t>HR</t>
  </si>
  <si>
    <t>Sarah Young</t>
  </si>
  <si>
    <t>E009</t>
  </si>
  <si>
    <t>IT</t>
  </si>
  <si>
    <t xml:space="preserve">Michael Scott </t>
  </si>
  <si>
    <t>E008</t>
  </si>
  <si>
    <t>Sales</t>
  </si>
  <si>
    <t>Linda Green</t>
  </si>
  <si>
    <t>E007</t>
  </si>
  <si>
    <t xml:space="preserve">Finance </t>
  </si>
  <si>
    <t>James King</t>
  </si>
  <si>
    <t>E006</t>
  </si>
  <si>
    <t>Grace Lee</t>
  </si>
  <si>
    <t>E005</t>
  </si>
  <si>
    <t>Peter Wilson</t>
  </si>
  <si>
    <t>E004</t>
  </si>
  <si>
    <t xml:space="preserve">Alice Brown </t>
  </si>
  <si>
    <t>E003</t>
  </si>
  <si>
    <t>Mary Smith</t>
  </si>
  <si>
    <t>E002</t>
  </si>
  <si>
    <t>John Doe</t>
  </si>
  <si>
    <t>E001</t>
  </si>
  <si>
    <t>Net Salary Above 600,000</t>
  </si>
  <si>
    <t>Net salary</t>
  </si>
  <si>
    <t>Gross Salary</t>
  </si>
  <si>
    <t>Deduction</t>
  </si>
  <si>
    <t xml:space="preserve">Allowance </t>
  </si>
  <si>
    <t>Basic Slary</t>
  </si>
  <si>
    <t xml:space="preserve">Department </t>
  </si>
  <si>
    <t xml:space="preserve">Employee Name </t>
  </si>
  <si>
    <t>Employee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</si>
</sst>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[$$-409]* #,##0.00_ ;_-[$$-409]* \-#,##0.00\ ;_-[$$-409]* &quot;-&quot;??_ ;_-@_ 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rgb="FFFFFF0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/>
    <xf numFmtId="0" fontId="3" fillId="3" borderId="0" xfId="0" applyFont="1" applyFill="1"/>
    <xf numFmtId="0" fontId="4" fillId="3" borderId="0" xfId="0" applyFont="1" applyFill="1"/>
    <xf numFmtId="0" fontId="1" fillId="4" borderId="0" xfId="0" applyFont="1" applyFill="1"/>
    <xf numFmtId="0" fontId="5" fillId="5" borderId="0" xfId="0" applyFont="1" applyFill="1"/>
    <xf numFmtId="164" fontId="0" fillId="0" borderId="0" xfId="0" applyNumberFormat="1"/>
    <xf numFmtId="0" fontId="6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tabSelected="1" workbookViewId="0">
      <selection activeCell="D27" sqref="D27"/>
    </sheetView>
  </sheetViews>
  <sheetFormatPr defaultRowHeight="14.4" x14ac:dyDescent="0.3"/>
  <cols>
    <col min="1" max="1" width="27.69921875" customWidth="1"/>
    <col min="2" max="2" width="15.796875" customWidth="1"/>
    <col min="3" max="3" width="18.09765625" customWidth="1"/>
    <col min="4" max="4" width="16.59765625" customWidth="1"/>
    <col min="5" max="5" width="14.796875" customWidth="1"/>
    <col min="6" max="6" width="22" customWidth="1"/>
    <col min="7" max="7" width="14.296875" customWidth="1"/>
    <col min="8" max="8" width="12.296875" customWidth="1"/>
    <col min="9" max="9" width="26.8984375" customWidth="1"/>
  </cols>
  <sheetData>
    <row r="1" spans="1:9" x14ac:dyDescent="0.3">
      <c r="A1" s="7" t="s">
        <v>45</v>
      </c>
      <c r="B1" s="7" t="s">
        <v>44</v>
      </c>
      <c r="C1" s="7" t="s">
        <v>43</v>
      </c>
      <c r="D1" s="7" t="s">
        <v>42</v>
      </c>
      <c r="E1" s="7" t="s">
        <v>41</v>
      </c>
      <c r="F1" s="7" t="s">
        <v>40</v>
      </c>
      <c r="G1" s="7" t="s">
        <v>39</v>
      </c>
      <c r="H1" s="7" t="s">
        <v>38</v>
      </c>
      <c r="I1" s="7" t="s">
        <v>37</v>
      </c>
    </row>
    <row r="2" spans="1:9" x14ac:dyDescent="0.3">
      <c r="A2" t="s">
        <v>36</v>
      </c>
      <c r="B2" t="s">
        <v>35</v>
      </c>
      <c r="C2" t="s">
        <v>24</v>
      </c>
      <c r="D2" s="6">
        <v>600000</v>
      </c>
      <c r="E2">
        <v>80000</v>
      </c>
      <c r="F2">
        <v>50000</v>
      </c>
      <c r="G2" s="6">
        <f>D2+E2</f>
        <v>680000</v>
      </c>
      <c r="H2" s="6">
        <f>G2-F2</f>
        <v>630000</v>
      </c>
      <c r="I2" t="str">
        <f>IF(H2&gt;600000,"YES","NO")</f>
        <v>YES</v>
      </c>
    </row>
    <row r="3" spans="1:9" x14ac:dyDescent="0.3">
      <c r="A3" t="s">
        <v>34</v>
      </c>
      <c r="B3" t="s">
        <v>33</v>
      </c>
      <c r="C3" t="s">
        <v>21</v>
      </c>
      <c r="D3" s="6">
        <v>550000</v>
      </c>
      <c r="E3">
        <v>70000</v>
      </c>
      <c r="F3">
        <v>45000</v>
      </c>
      <c r="G3" s="6">
        <f>D3+E3</f>
        <v>620000</v>
      </c>
      <c r="H3" s="6">
        <f>G3-F3</f>
        <v>575000</v>
      </c>
      <c r="I3" t="str">
        <f>IF(H3&gt;600000,"YES","NO")</f>
        <v>NO</v>
      </c>
    </row>
    <row r="4" spans="1:9" x14ac:dyDescent="0.3">
      <c r="A4" t="s">
        <v>32</v>
      </c>
      <c r="B4" t="s">
        <v>31</v>
      </c>
      <c r="C4" t="s">
        <v>15</v>
      </c>
      <c r="D4" s="6">
        <v>500000</v>
      </c>
      <c r="E4">
        <v>60000</v>
      </c>
      <c r="F4">
        <v>40000</v>
      </c>
      <c r="G4" s="6">
        <f>D4+E4</f>
        <v>560000</v>
      </c>
      <c r="H4" s="6">
        <f>G4-F4</f>
        <v>520000</v>
      </c>
      <c r="I4" t="str">
        <f>IF(H4&gt;600000,"YES","NO")</f>
        <v>NO</v>
      </c>
    </row>
    <row r="5" spans="1:9" x14ac:dyDescent="0.3">
      <c r="A5" t="s">
        <v>30</v>
      </c>
      <c r="B5" t="s">
        <v>29</v>
      </c>
      <c r="C5" t="s">
        <v>18</v>
      </c>
      <c r="D5" s="6">
        <v>650000</v>
      </c>
      <c r="E5">
        <v>90000</v>
      </c>
      <c r="F5">
        <v>60000</v>
      </c>
      <c r="G5" s="6">
        <f>D5+E5</f>
        <v>740000</v>
      </c>
      <c r="H5" s="6">
        <f>G5-F5</f>
        <v>680000</v>
      </c>
      <c r="I5" t="str">
        <f>IF(H5&gt;600000,"YES","NO")</f>
        <v>YES</v>
      </c>
    </row>
    <row r="6" spans="1:9" x14ac:dyDescent="0.3">
      <c r="A6" t="s">
        <v>28</v>
      </c>
      <c r="B6" t="s">
        <v>27</v>
      </c>
      <c r="C6" t="s">
        <v>12</v>
      </c>
      <c r="D6" s="6">
        <v>580000</v>
      </c>
      <c r="E6">
        <v>75000</v>
      </c>
      <c r="F6">
        <v>50000</v>
      </c>
      <c r="G6" s="6">
        <f>D6+E6</f>
        <v>655000</v>
      </c>
      <c r="H6" s="6">
        <f>G6-F6</f>
        <v>605000</v>
      </c>
      <c r="I6" t="str">
        <f>IF(H6&gt;600000,"YES","NO")</f>
        <v>YES</v>
      </c>
    </row>
    <row r="7" spans="1:9" x14ac:dyDescent="0.3">
      <c r="A7" t="s">
        <v>26</v>
      </c>
      <c r="B7" t="s">
        <v>25</v>
      </c>
      <c r="C7" t="s">
        <v>24</v>
      </c>
      <c r="D7" s="6">
        <v>620000</v>
      </c>
      <c r="E7">
        <v>85000</v>
      </c>
      <c r="F7">
        <v>55000</v>
      </c>
      <c r="G7" s="6">
        <f>D7+E7</f>
        <v>705000</v>
      </c>
      <c r="H7" s="6">
        <f>G7-F7</f>
        <v>650000</v>
      </c>
      <c r="I7" t="str">
        <f>IF(H7&gt;600000,"YES","NO")</f>
        <v>YES</v>
      </c>
    </row>
    <row r="8" spans="1:9" x14ac:dyDescent="0.3">
      <c r="A8" t="s">
        <v>23</v>
      </c>
      <c r="B8" t="s">
        <v>22</v>
      </c>
      <c r="C8" t="s">
        <v>21</v>
      </c>
      <c r="D8" s="6">
        <v>540000</v>
      </c>
      <c r="E8">
        <v>70000</v>
      </c>
      <c r="F8">
        <v>45000</v>
      </c>
      <c r="G8" s="6">
        <f>D8+E8</f>
        <v>610000</v>
      </c>
      <c r="H8" s="6">
        <f>G8-F8</f>
        <v>565000</v>
      </c>
      <c r="I8" t="str">
        <f>IF(H8&gt;600000,"YES","NO")</f>
        <v>NO</v>
      </c>
    </row>
    <row r="9" spans="1:9" x14ac:dyDescent="0.3">
      <c r="A9" t="s">
        <v>20</v>
      </c>
      <c r="B9" t="s">
        <v>19</v>
      </c>
      <c r="C9" t="s">
        <v>18</v>
      </c>
      <c r="D9" s="6">
        <v>680000</v>
      </c>
      <c r="E9">
        <v>95000</v>
      </c>
      <c r="F9">
        <v>65000</v>
      </c>
      <c r="G9" s="6">
        <f>D9+E9</f>
        <v>775000</v>
      </c>
      <c r="H9" s="6">
        <f>G9-F9</f>
        <v>710000</v>
      </c>
      <c r="I9" t="str">
        <f>IF(H9&gt;600000,"YES","NO")</f>
        <v>YES</v>
      </c>
    </row>
    <row r="10" spans="1:9" x14ac:dyDescent="0.3">
      <c r="A10" t="s">
        <v>17</v>
      </c>
      <c r="B10" t="s">
        <v>16</v>
      </c>
      <c r="C10" t="s">
        <v>15</v>
      </c>
      <c r="D10" s="6">
        <v>510000</v>
      </c>
      <c r="E10">
        <v>65000</v>
      </c>
      <c r="F10">
        <v>42000</v>
      </c>
      <c r="G10" s="6">
        <f>D10+E10</f>
        <v>575000</v>
      </c>
      <c r="H10" s="6">
        <f>G10-F10</f>
        <v>533000</v>
      </c>
      <c r="I10" t="str">
        <f>IF(H10&gt;600000,"YES","NO")</f>
        <v>NO</v>
      </c>
    </row>
    <row r="11" spans="1:9" x14ac:dyDescent="0.3">
      <c r="A11" t="s">
        <v>14</v>
      </c>
      <c r="B11" t="s">
        <v>13</v>
      </c>
      <c r="C11" t="s">
        <v>12</v>
      </c>
      <c r="D11" s="6">
        <v>590000</v>
      </c>
      <c r="E11">
        <v>78000</v>
      </c>
      <c r="F11">
        <v>52000</v>
      </c>
      <c r="G11" s="6">
        <f>D11+E11</f>
        <v>668000</v>
      </c>
      <c r="H11" s="6">
        <f>G11-F11</f>
        <v>616000</v>
      </c>
      <c r="I11" t="str">
        <f>IF(H11&gt;600000,"YES","NO")</f>
        <v>YES</v>
      </c>
    </row>
    <row r="13" spans="1:9" x14ac:dyDescent="0.3">
      <c r="A13" s="5" t="s">
        <v>11</v>
      </c>
      <c r="B13" s="5"/>
      <c r="C13" s="5"/>
      <c r="D13" s="5"/>
      <c r="E13" s="5"/>
      <c r="F13" s="5"/>
      <c r="G13" s="5"/>
      <c r="H13" s="5">
        <f>SUM(H2:H11)</f>
        <v>6084000</v>
      </c>
    </row>
    <row r="14" spans="1:9" x14ac:dyDescent="0.3">
      <c r="A14" s="4" t="s">
        <v>10</v>
      </c>
      <c r="B14" s="4"/>
      <c r="C14" s="4">
        <f>SUMIF(C2:C11,C2,H2:H11)</f>
        <v>1280000</v>
      </c>
    </row>
    <row r="15" spans="1:9" x14ac:dyDescent="0.3">
      <c r="A15" s="4" t="s">
        <v>9</v>
      </c>
      <c r="B15" s="4"/>
      <c r="C15" s="4">
        <f>SUMIF(C2:C11,C3,H2:H11)</f>
        <v>1140000</v>
      </c>
    </row>
    <row r="16" spans="1:9" x14ac:dyDescent="0.3">
      <c r="A16" s="4" t="s">
        <v>8</v>
      </c>
      <c r="B16" s="4"/>
      <c r="C16" s="4">
        <f>SUMIF(C2:C11,C4,H2:H11)</f>
        <v>1053000</v>
      </c>
    </row>
    <row r="17" spans="1:8" x14ac:dyDescent="0.3">
      <c r="A17" s="4" t="s">
        <v>7</v>
      </c>
      <c r="B17" s="4"/>
      <c r="C17" s="4">
        <f>SUMIF(C2:C11,C5,H2:H11)</f>
        <v>1390000</v>
      </c>
    </row>
    <row r="18" spans="1:8" x14ac:dyDescent="0.3">
      <c r="A18" s="4" t="s">
        <v>6</v>
      </c>
      <c r="B18" s="4"/>
      <c r="C18" s="4">
        <f>SUMIF(C2:C11,C6,H2:H11)</f>
        <v>1221000</v>
      </c>
    </row>
    <row r="19" spans="1:8" x14ac:dyDescent="0.3">
      <c r="A19" s="3" t="s">
        <v>5</v>
      </c>
      <c r="B19" s="2"/>
      <c r="C19" s="2"/>
      <c r="D19" s="2"/>
      <c r="E19" s="2"/>
      <c r="F19" s="2"/>
      <c r="G19" s="2"/>
      <c r="H19" s="2">
        <f>AVERAGE(H2:H11)</f>
        <v>608400</v>
      </c>
    </row>
    <row r="23" spans="1:8" x14ac:dyDescent="0.3">
      <c r="A23" s="1" t="s">
        <v>4</v>
      </c>
      <c r="B23" s="1"/>
      <c r="C23" s="1">
        <f>COUNTIF('HR Payroll Mnagement'!C2:C11,'HR Payroll Mnagement'!C2)</f>
        <v>2</v>
      </c>
    </row>
    <row r="24" spans="1:8" x14ac:dyDescent="0.3">
      <c r="A24" s="1" t="s">
        <v>3</v>
      </c>
      <c r="B24" s="1"/>
      <c r="C24" s="1">
        <f>COUNTIF(C2:C11,C3)</f>
        <v>2</v>
      </c>
    </row>
    <row r="25" spans="1:8" x14ac:dyDescent="0.3">
      <c r="A25" s="1" t="s">
        <v>2</v>
      </c>
      <c r="B25" s="1"/>
      <c r="C25" s="1">
        <f>COUNTIF(C2:C11,C4)</f>
        <v>2</v>
      </c>
    </row>
    <row r="26" spans="1:8" x14ac:dyDescent="0.3">
      <c r="A26" s="1" t="s">
        <v>1</v>
      </c>
      <c r="B26" s="1"/>
      <c r="C26" s="1">
        <f>COUNTIF(C2:C11,C5)</f>
        <v>2</v>
      </c>
    </row>
    <row r="27" spans="1:8" x14ac:dyDescent="0.3">
      <c r="A27" s="1" t="s">
        <v>0</v>
      </c>
      <c r="B27" s="1"/>
      <c r="C27" s="1">
        <f>COUNTIF(C2:C11,C6)</f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Payroll Mnagement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2026-02-23T08:24:03Z</dcterms:created>
  <dcterms:modified xsi:type="dcterms:W3CDTF">2026-02-23T08:25:54Z</dcterms:modified>
</cp:coreProperties>
</file>